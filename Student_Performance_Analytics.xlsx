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BEC8BD1-15D1-4F19-BA15-4E5FF504B3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udent_Performance_Analytics.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L12" i="1"/>
  <c r="L11" i="1"/>
  <c r="L6" i="1"/>
  <c r="L7" i="1"/>
  <c r="L4" i="1"/>
  <c r="L3" i="1"/>
  <c r="L2" i="1"/>
  <c r="I11" i="1"/>
  <c r="I10" i="1"/>
  <c r="I9" i="1"/>
  <c r="I7" i="1"/>
  <c r="I5" i="1"/>
  <c r="I4" i="1"/>
  <c r="I3" i="1"/>
  <c r="I2" i="1"/>
  <c r="H2" i="1"/>
  <c r="H11" i="1"/>
  <c r="H3" i="1"/>
  <c r="H4" i="1"/>
  <c r="H5" i="1"/>
  <c r="H6" i="1"/>
  <c r="H7" i="1"/>
  <c r="H8" i="1"/>
  <c r="I8" i="1" s="1"/>
  <c r="H9" i="1"/>
  <c r="H10" i="1"/>
  <c r="G11" i="1"/>
  <c r="G3" i="1"/>
  <c r="G4" i="1"/>
  <c r="G5" i="1"/>
  <c r="G6" i="1"/>
  <c r="G7" i="1"/>
  <c r="G8" i="1"/>
  <c r="G9" i="1"/>
  <c r="G10" i="1"/>
  <c r="G2" i="1"/>
  <c r="L10" i="1" l="1"/>
  <c r="L9" i="1"/>
  <c r="L8" i="1"/>
  <c r="I6" i="1"/>
</calcChain>
</file>

<file path=xl/sharedStrings.xml><?xml version="1.0" encoding="utf-8"?>
<sst xmlns="http://schemas.openxmlformats.org/spreadsheetml/2006/main" count="52" uniqueCount="42">
  <si>
    <t>Student_ID</t>
  </si>
  <si>
    <t>Name</t>
  </si>
  <si>
    <t>Department</t>
  </si>
  <si>
    <t>Attendance</t>
  </si>
  <si>
    <t>Maths</t>
  </si>
  <si>
    <t>Python</t>
  </si>
  <si>
    <t xml:space="preserve">Total_Marks </t>
  </si>
  <si>
    <t>Average_Marks</t>
  </si>
  <si>
    <t>Status</t>
  </si>
  <si>
    <t>Department name</t>
  </si>
  <si>
    <t>Department-wise Student Count</t>
  </si>
  <si>
    <t>S001</t>
  </si>
  <si>
    <t>Arun</t>
  </si>
  <si>
    <t>IT</t>
  </si>
  <si>
    <t>S002</t>
  </si>
  <si>
    <t>Bala</t>
  </si>
  <si>
    <t>CSE</t>
  </si>
  <si>
    <t>S003</t>
  </si>
  <si>
    <t>Charan</t>
  </si>
  <si>
    <t>ECE</t>
  </si>
  <si>
    <t>S004</t>
  </si>
  <si>
    <t>Divya</t>
  </si>
  <si>
    <t>S005</t>
  </si>
  <si>
    <t>Elango</t>
  </si>
  <si>
    <t>Performance Summary</t>
  </si>
  <si>
    <t>S006</t>
  </si>
  <si>
    <t>Fathima</t>
  </si>
  <si>
    <t>Total Students</t>
  </si>
  <si>
    <t>S007</t>
  </si>
  <si>
    <t>Gokul</t>
  </si>
  <si>
    <t>Class Average</t>
  </si>
  <si>
    <t>S008</t>
  </si>
  <si>
    <t>Hari</t>
  </si>
  <si>
    <t>Highest Average</t>
  </si>
  <si>
    <t>S009</t>
  </si>
  <si>
    <t>Indhu</t>
  </si>
  <si>
    <t>Lowest Average</t>
  </si>
  <si>
    <t>S010</t>
  </si>
  <si>
    <t>Jeeva</t>
  </si>
  <si>
    <t>Total Pass</t>
  </si>
  <si>
    <t>Total Fail</t>
  </si>
  <si>
    <t>STUDENT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</si>
</sst>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48235"/>
      <name val="Calibri"/>
      <scheme val="minor"/>
    </font>
    <font>
      <b/>
      <sz val="16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Student_Performance_Analytics.x!$L$1</c:f>
              <c:strCache>
                <c:ptCount val="1"/>
                <c:pt idx="0">
                  <c:v>Department-wise Student Count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Student_Performance_Analytics.x!$K$2:$K$4</c:f>
              <c:strCache>
                <c:ptCount val="3"/>
                <c:pt idx="0">
                  <c:v>IT</c:v>
                </c:pt>
                <c:pt idx="1">
                  <c:v>CSE</c:v>
                </c:pt>
                <c:pt idx="2">
                  <c:v>ECE</c:v>
                </c:pt>
              </c:strCache>
            </c:strRef>
          </c:cat>
          <c:val>
            <c:numRef>
              <c:f>Student_Performance_Analytics.x!$L$2:$L$4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9-4927-967C-4168E43CBC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54343"/>
        <c:axId val="32656391"/>
      </c:barChart>
      <c:catAx>
        <c:axId val="3265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6391"/>
        <c:crosses val="autoZero"/>
        <c:auto val="1"/>
        <c:lblAlgn val="ctr"/>
        <c:lblOffset val="100"/>
        <c:noMultiLvlLbl val="0"/>
      </c:catAx>
      <c:valAx>
        <c:axId val="3265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Average Marks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Student_Performance_Analytics.x!$H$1</c:f>
              <c:strCache>
                <c:ptCount val="1"/>
                <c:pt idx="0">
                  <c:v>Average_Marks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Student_Performance_Analytics.x!$B$2:$B$11</c:f>
              <c:strCache>
                <c:ptCount val="10"/>
                <c:pt idx="0">
                  <c:v>Arun</c:v>
                </c:pt>
                <c:pt idx="1">
                  <c:v>Bala</c:v>
                </c:pt>
                <c:pt idx="2">
                  <c:v>Charan</c:v>
                </c:pt>
                <c:pt idx="3">
                  <c:v>Divya</c:v>
                </c:pt>
                <c:pt idx="4">
                  <c:v>Elango</c:v>
                </c:pt>
                <c:pt idx="5">
                  <c:v>Fathima</c:v>
                </c:pt>
                <c:pt idx="6">
                  <c:v>Gokul</c:v>
                </c:pt>
                <c:pt idx="7">
                  <c:v>Hari</c:v>
                </c:pt>
                <c:pt idx="8">
                  <c:v>Indhu</c:v>
                </c:pt>
                <c:pt idx="9">
                  <c:v>Jeeva</c:v>
                </c:pt>
              </c:strCache>
            </c:strRef>
          </c:cat>
          <c:val>
            <c:numRef>
              <c:f>Student_Performance_Analytics.x!$H$2:$H$11</c:f>
              <c:numCache>
                <c:formatCode>General</c:formatCode>
                <c:ptCount val="10"/>
                <c:pt idx="0">
                  <c:v>80</c:v>
                </c:pt>
                <c:pt idx="1">
                  <c:v>89</c:v>
                </c:pt>
                <c:pt idx="2">
                  <c:v>67.5</c:v>
                </c:pt>
                <c:pt idx="3">
                  <c:v>93</c:v>
                </c:pt>
                <c:pt idx="4">
                  <c:v>47.5</c:v>
                </c:pt>
                <c:pt idx="5">
                  <c:v>82.5</c:v>
                </c:pt>
                <c:pt idx="6">
                  <c:v>46</c:v>
                </c:pt>
                <c:pt idx="7">
                  <c:v>86.5</c:v>
                </c:pt>
                <c:pt idx="8">
                  <c:v>77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D-404D-A833-823BF5008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overlap val="-27"/>
        <c:axId val="22459911"/>
        <c:axId val="22476807"/>
      </c:barChart>
      <c:catAx>
        <c:axId val="2245991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A9D08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Names</a:t>
                </a:r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A9D08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crossAx val="22476807"/>
        <c:crosses val="autoZero"/>
        <c:auto val="1"/>
        <c:lblAlgn val="ctr"/>
        <c:lblOffset val="100"/>
        <c:noMultiLvlLbl val="0"/>
      </c:catAx>
      <c:valAx>
        <c:axId val="2247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A9D08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A9D08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 vs Fail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Student_Performance_Analytics.x!$K$11:$K$12</c:f>
              <c:strCache>
                <c:ptCount val="2"/>
                <c:pt idx="0">
                  <c:v>Total Pass</c:v>
                </c:pt>
                <c:pt idx="1">
                  <c:v>Total Fail</c:v>
                </c:pt>
              </c:strCache>
            </c:strRef>
          </c:cat>
          <c:val>
            <c:numRef>
              <c:f>Student_Performance_Analytics.x!$L$11:$L$12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E-4EB9-85DC-BC3F4A3D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180975</xdr:rowOff>
    </xdr:from>
    <xdr:to>
      <xdr:col>5</xdr:col>
      <xdr:colOff>0</xdr:colOff>
      <xdr:row>26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F531D9-CC72-6DA2-65E5-D0D941740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13</xdr:row>
      <xdr:rowOff>180975</xdr:rowOff>
    </xdr:from>
    <xdr:to>
      <xdr:col>9</xdr:col>
      <xdr:colOff>542925</xdr:colOff>
      <xdr:row>26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936A56-EC00-C4E0-10D5-42648078BA32}"/>
            </a:ext>
            <a:ext uri="{147F2762-F138-4A5C-976F-8EAC2B608ADB}">
              <a16:predDERef xmlns:a16="http://schemas.microsoft.com/office/drawing/2014/main" pred="{EDF531D9-CC72-6DA2-65E5-D0D941740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409575</xdr:colOff>
      <xdr:row>26</xdr:row>
      <xdr:rowOff>180975</xdr:rowOff>
    </xdr:from>
    <xdr:to>
      <xdr:col>7</xdr:col>
      <xdr:colOff>323850</xdr:colOff>
      <xdr:row>40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CB4E63-99CE-C25C-E7B8-1BA8AAA2394E}"/>
            </a:ext>
            <a:ext uri="{147F2762-F138-4A5C-976F-8EAC2B608ADB}">
              <a16:predDERef xmlns:a16="http://schemas.microsoft.com/office/drawing/2014/main" pred="{0B936A56-EC00-C4E0-10D5-42648078B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E3351-245C-4218-9289-9770B8A230D8}" name="Table2" displayName="Table2" ref="A1:I12" totalsRowCount="1" headerRowDxfId="6">
  <autoFilter ref="A1:I11" xr:uid="{BCFE3351-245C-4218-9289-9770B8A230D8}"/>
  <tableColumns count="9">
    <tableColumn id="1" xr3:uid="{678DBD4B-C384-40E8-AB40-2488A3EB5947}" name="Student_ID"/>
    <tableColumn id="2" xr3:uid="{C5393791-E003-4C7F-95DF-86254E4F61BE}" name="Name"/>
    <tableColumn id="3" xr3:uid="{6BFD537D-306E-4502-8FCD-18E7B0DFB637}" name="Department"/>
    <tableColumn id="4" xr3:uid="{1ED4A94B-6D85-4C3A-9BB1-4FD55A78845C}" name="Attendance"/>
    <tableColumn id="5" xr3:uid="{E0062E8C-3661-4B44-B48D-41F76D27863C}" name="Maths"/>
    <tableColumn id="6" xr3:uid="{EF4BF743-5AF6-4A0C-A9A4-8FCB2E9A5122}" name="Python"/>
    <tableColumn id="7" xr3:uid="{A9DC54EA-8B96-4B6F-9E38-70FAEC245345}" name="Total_Marks " dataDxfId="4" totalsRowDxfId="5">
      <calculatedColumnFormula>E2+F2</calculatedColumnFormula>
    </tableColumn>
    <tableColumn id="8" xr3:uid="{E13D3932-DABA-495F-962B-B7B4DA73A758}" name="Average_Marks" totalsRowFunction="custom" dataDxfId="2" totalsRowDxfId="3">
      <calculatedColumnFormula>AVERAGE(E2:F2)</calculatedColumnFormula>
      <totalsRowFormula>AVERAGE(H2:H11)</totalsRowFormula>
    </tableColumn>
    <tableColumn id="9" xr3:uid="{16D7D59E-B35B-4559-920C-4C2DD963B2EF}" name="Status" dataDxfId="0" totalsRowDxfId="1">
      <calculatedColumnFormula>IF(H2&gt;=50,"Pass","Fail")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A23" workbookViewId="0">
      <selection activeCell="K24" sqref="K24"/>
    </sheetView>
  </sheetViews>
  <sheetFormatPr defaultRowHeight="15"/>
  <cols>
    <col min="1" max="1" width="13.42578125" customWidth="1"/>
    <col min="3" max="3" width="14.28515625" customWidth="1"/>
    <col min="4" max="4" width="13.7109375" customWidth="1"/>
    <col min="6" max="6" width="9.7109375" bestFit="1" customWidth="1"/>
    <col min="7" max="7" width="15.140625" bestFit="1" customWidth="1"/>
    <col min="8" max="8" width="17.5703125" bestFit="1" customWidth="1"/>
    <col min="11" max="11" width="22" bestFit="1" customWidth="1"/>
    <col min="12" max="12" width="12.1406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 t="s">
        <v>9</v>
      </c>
      <c r="L1" s="3" t="s">
        <v>10</v>
      </c>
    </row>
    <row r="2" spans="1:12">
      <c r="A2" t="s">
        <v>11</v>
      </c>
      <c r="B2" t="s">
        <v>12</v>
      </c>
      <c r="C2" t="s">
        <v>13</v>
      </c>
      <c r="D2">
        <v>85</v>
      </c>
      <c r="E2">
        <v>78</v>
      </c>
      <c r="F2">
        <v>82</v>
      </c>
      <c r="G2" s="1">
        <f>E2+F2</f>
        <v>160</v>
      </c>
      <c r="H2">
        <f>AVERAGE(E2:F2)</f>
        <v>80</v>
      </c>
      <c r="I2" t="str">
        <f t="shared" ref="I2:I11" si="0">IF(H2&gt;=50,"Pass","Fail")</f>
        <v>Pass</v>
      </c>
      <c r="K2" t="s">
        <v>13</v>
      </c>
      <c r="L2">
        <f>COUNTIF(C2:C11,"IT")</f>
        <v>4</v>
      </c>
    </row>
    <row r="3" spans="1:12">
      <c r="A3" t="s">
        <v>14</v>
      </c>
      <c r="B3" t="s">
        <v>15</v>
      </c>
      <c r="C3" t="s">
        <v>16</v>
      </c>
      <c r="D3">
        <v>92</v>
      </c>
      <c r="E3">
        <v>88</v>
      </c>
      <c r="F3">
        <v>90</v>
      </c>
      <c r="G3" s="1">
        <f t="shared" ref="G3:G11" si="1">E3+F3</f>
        <v>178</v>
      </c>
      <c r="H3">
        <f t="shared" ref="H2:H11" si="2">AVERAGE(E3:F3)</f>
        <v>89</v>
      </c>
      <c r="I3" t="str">
        <f t="shared" si="0"/>
        <v>Pass</v>
      </c>
      <c r="K3" t="s">
        <v>16</v>
      </c>
      <c r="L3">
        <f>COUNTIF(C2:C11,"CSE")</f>
        <v>3</v>
      </c>
    </row>
    <row r="4" spans="1:12">
      <c r="A4" t="s">
        <v>17</v>
      </c>
      <c r="B4" t="s">
        <v>18</v>
      </c>
      <c r="C4" t="s">
        <v>13</v>
      </c>
      <c r="D4">
        <v>76</v>
      </c>
      <c r="E4">
        <v>65</v>
      </c>
      <c r="F4">
        <v>70</v>
      </c>
      <c r="G4" s="1">
        <f t="shared" si="1"/>
        <v>135</v>
      </c>
      <c r="H4">
        <f t="shared" si="2"/>
        <v>67.5</v>
      </c>
      <c r="I4" t="str">
        <f t="shared" si="0"/>
        <v>Pass</v>
      </c>
      <c r="K4" t="s">
        <v>19</v>
      </c>
      <c r="L4">
        <f>COUNTIF(C2:C11,"ECE")</f>
        <v>3</v>
      </c>
    </row>
    <row r="5" spans="1:12">
      <c r="A5" t="s">
        <v>20</v>
      </c>
      <c r="B5" t="s">
        <v>21</v>
      </c>
      <c r="C5" t="s">
        <v>19</v>
      </c>
      <c r="D5">
        <v>95</v>
      </c>
      <c r="E5">
        <v>92</v>
      </c>
      <c r="F5">
        <v>94</v>
      </c>
      <c r="G5" s="1">
        <f t="shared" si="1"/>
        <v>186</v>
      </c>
      <c r="H5">
        <f t="shared" si="2"/>
        <v>93</v>
      </c>
      <c r="I5" t="str">
        <f t="shared" si="0"/>
        <v>Pass</v>
      </c>
    </row>
    <row r="6" spans="1:12">
      <c r="A6" t="s">
        <v>22</v>
      </c>
      <c r="B6" t="s">
        <v>23</v>
      </c>
      <c r="C6" t="s">
        <v>13</v>
      </c>
      <c r="D6">
        <v>68</v>
      </c>
      <c r="E6">
        <v>35</v>
      </c>
      <c r="F6">
        <v>60</v>
      </c>
      <c r="G6" s="1">
        <f t="shared" si="1"/>
        <v>95</v>
      </c>
      <c r="H6">
        <f t="shared" si="2"/>
        <v>47.5</v>
      </c>
      <c r="I6" t="str">
        <f t="shared" si="0"/>
        <v>Fail</v>
      </c>
      <c r="K6" s="3" t="s">
        <v>24</v>
      </c>
      <c r="L6" t="str">
        <f>IF(H6&gt;=50,"Pass","Fail")</f>
        <v>Fail</v>
      </c>
    </row>
    <row r="7" spans="1:12">
      <c r="A7" t="s">
        <v>25</v>
      </c>
      <c r="B7" t="s">
        <v>26</v>
      </c>
      <c r="C7" t="s">
        <v>16</v>
      </c>
      <c r="D7">
        <v>88</v>
      </c>
      <c r="E7">
        <v>80</v>
      </c>
      <c r="F7">
        <v>85</v>
      </c>
      <c r="G7" s="1">
        <f t="shared" si="1"/>
        <v>165</v>
      </c>
      <c r="H7">
        <f t="shared" si="2"/>
        <v>82.5</v>
      </c>
      <c r="I7" t="str">
        <f t="shared" si="0"/>
        <v>Pass</v>
      </c>
      <c r="K7" t="s">
        <v>27</v>
      </c>
      <c r="L7">
        <f>COUNTA(B2:B11)</f>
        <v>10</v>
      </c>
    </row>
    <row r="8" spans="1:12">
      <c r="A8" t="s">
        <v>28</v>
      </c>
      <c r="B8" t="s">
        <v>29</v>
      </c>
      <c r="C8" t="s">
        <v>19</v>
      </c>
      <c r="D8">
        <v>72</v>
      </c>
      <c r="E8">
        <v>60</v>
      </c>
      <c r="F8">
        <v>32</v>
      </c>
      <c r="G8" s="1">
        <f t="shared" si="1"/>
        <v>92</v>
      </c>
      <c r="H8">
        <f t="shared" si="2"/>
        <v>46</v>
      </c>
      <c r="I8" t="str">
        <f t="shared" si="0"/>
        <v>Fail</v>
      </c>
      <c r="K8" t="s">
        <v>30</v>
      </c>
      <c r="L8">
        <f>AVERAGE(H2:H11)</f>
        <v>72.3</v>
      </c>
    </row>
    <row r="9" spans="1:12">
      <c r="A9" t="s">
        <v>31</v>
      </c>
      <c r="B9" t="s">
        <v>32</v>
      </c>
      <c r="C9" t="s">
        <v>13</v>
      </c>
      <c r="D9">
        <v>90</v>
      </c>
      <c r="E9">
        <v>85</v>
      </c>
      <c r="F9">
        <v>88</v>
      </c>
      <c r="G9" s="1">
        <f t="shared" si="1"/>
        <v>173</v>
      </c>
      <c r="H9">
        <f t="shared" si="2"/>
        <v>86.5</v>
      </c>
      <c r="I9" t="str">
        <f t="shared" si="0"/>
        <v>Pass</v>
      </c>
      <c r="K9" t="s">
        <v>33</v>
      </c>
      <c r="L9">
        <f>MAX(H2:H11)</f>
        <v>93</v>
      </c>
    </row>
    <row r="10" spans="1:12">
      <c r="A10" t="s">
        <v>34</v>
      </c>
      <c r="B10" t="s">
        <v>35</v>
      </c>
      <c r="C10" t="s">
        <v>16</v>
      </c>
      <c r="D10">
        <v>82</v>
      </c>
      <c r="E10">
        <v>75</v>
      </c>
      <c r="F10">
        <v>79</v>
      </c>
      <c r="G10" s="1">
        <f t="shared" si="1"/>
        <v>154</v>
      </c>
      <c r="H10">
        <f t="shared" si="2"/>
        <v>77</v>
      </c>
      <c r="I10" t="str">
        <f t="shared" si="0"/>
        <v>Pass</v>
      </c>
      <c r="K10" t="s">
        <v>36</v>
      </c>
      <c r="L10">
        <f>MIN(H2:H11)</f>
        <v>46</v>
      </c>
    </row>
    <row r="11" spans="1:12">
      <c r="A11" t="s">
        <v>37</v>
      </c>
      <c r="B11" t="s">
        <v>38</v>
      </c>
      <c r="C11" t="s">
        <v>19</v>
      </c>
      <c r="D11">
        <v>65</v>
      </c>
      <c r="E11">
        <v>50</v>
      </c>
      <c r="F11">
        <v>58</v>
      </c>
      <c r="G11" s="1">
        <f>E11+F11</f>
        <v>108</v>
      </c>
      <c r="H11">
        <f>AVERAGE(E11:F11)</f>
        <v>54</v>
      </c>
      <c r="I11" t="str">
        <f t="shared" si="0"/>
        <v>Pass</v>
      </c>
      <c r="K11" t="s">
        <v>39</v>
      </c>
      <c r="L11">
        <f>COUNTIF(I2:I11,"Pass")</f>
        <v>8</v>
      </c>
    </row>
    <row r="12" spans="1:12">
      <c r="G12" s="4"/>
      <c r="H12" s="4">
        <f>AVERAGE(H2:H11)</f>
        <v>72.3</v>
      </c>
      <c r="I12" s="4"/>
      <c r="K12" t="s">
        <v>40</v>
      </c>
      <c r="L12">
        <f>COUNTIF(I2:I11,"Fail")</f>
        <v>2</v>
      </c>
    </row>
    <row r="13" spans="1:12" ht="21">
      <c r="A13" s="5" t="s">
        <v>41</v>
      </c>
      <c r="B13" s="5"/>
      <c r="C13" s="5"/>
      <c r="D13" s="5"/>
      <c r="E13" s="5"/>
      <c r="F13" s="5"/>
      <c r="G13" s="5"/>
      <c r="H13" s="5"/>
    </row>
  </sheetData>
  <mergeCells count="1">
    <mergeCell ref="A13:H13"/>
  </mergeCells>
  <conditionalFormatting sqref="H2:H11">
    <cfRule type="cellIs" dxfId="7" priority="2" operator="lessThan">
      <formula>50</formula>
    </cfRule>
  </conditionalFormatting>
  <conditionalFormatting sqref="H2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2026-09-17T12:16:11Z</dcterms:created>
  <dcterms:modified xsi:type="dcterms:W3CDTF">2026-09-20T05:47:15Z</dcterms:modified>
  <cp:category/>
  <cp:contentStatus/>
</cp:coreProperties>
</file>